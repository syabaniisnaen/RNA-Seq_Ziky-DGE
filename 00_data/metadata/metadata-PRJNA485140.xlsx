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Sheet1!$L$1:$L$66</definedName>
    <definedName name="_xlnm._FilterDatabase" localSheetId="0" hidden="1">Sheet1!$L$1:$L$66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<sst xmlns="http://schemas.openxmlformats.org/spreadsheetml/2006/main" count="142" uniqueCount="142">
  <si>
    <t>BioProject</t>
  </si>
  <si>
    <t>BioSample</t>
  </si>
  <si>
    <t>Experiment</t>
  </si>
  <si>
    <t>SRR_ID</t>
  </si>
  <si>
    <t>time_post_infection_viral_infection</t>
  </si>
  <si>
    <t>viral_infection</t>
  </si>
  <si>
    <t>viral_strain</t>
  </si>
  <si>
    <t>Type</t>
  </si>
  <si>
    <t>Recplicated</t>
  </si>
  <si>
    <t>PRJNA485140</t>
  </si>
  <si>
    <t>SAMN09784317</t>
  </si>
  <si>
    <t>SRX4521348</t>
  </si>
  <si>
    <t>SRR7660684</t>
  </si>
  <si>
    <t xml:space="preserve">mock infected</t>
  </si>
  <si>
    <t>NA</t>
  </si>
  <si>
    <t>SRR7660685</t>
  </si>
  <si>
    <t>SAMN09784362</t>
  </si>
  <si>
    <t>SRX4521353</t>
  </si>
  <si>
    <t>SRR7660694</t>
  </si>
  <si>
    <t>SAMN09784357</t>
  </si>
  <si>
    <t>SRX4521358</t>
  </si>
  <si>
    <t>SRR7660699</t>
  </si>
  <si>
    <t>SAMN09784354</t>
  </si>
  <si>
    <t>SRX4521365</t>
  </si>
  <si>
    <t>SRR7660706</t>
  </si>
  <si>
    <t>SRR7660707</t>
  </si>
  <si>
    <t>SRR7660708</t>
  </si>
  <si>
    <t>SAMN09784343</t>
  </si>
  <si>
    <t>SRX4521372</t>
  </si>
  <si>
    <t>SRR7660727</t>
  </si>
  <si>
    <t>SRR7660728</t>
  </si>
  <si>
    <t>SRR7660729</t>
  </si>
  <si>
    <t>SAMN09784356</t>
  </si>
  <si>
    <t>SRX4521359</t>
  </si>
  <si>
    <t>SRR7660700</t>
  </si>
  <si>
    <t>ZIKV-bystander</t>
  </si>
  <si>
    <t>ZIKV-FSS13025</t>
  </si>
  <si>
    <t>SAMN09784353</t>
  </si>
  <si>
    <t>SRX4521366</t>
  </si>
  <si>
    <t>SRR7660709</t>
  </si>
  <si>
    <t>SRR7660710</t>
  </si>
  <si>
    <t>SRR7660711</t>
  </si>
  <si>
    <t>SAMN09784342</t>
  </si>
  <si>
    <t>SRX4521373</t>
  </si>
  <si>
    <t>SRR7660730</t>
  </si>
  <si>
    <t>SRR7660731</t>
  </si>
  <si>
    <t>SRR7660732</t>
  </si>
  <si>
    <t>SAMN09784355</t>
  </si>
  <si>
    <t>SRX4521360</t>
  </si>
  <si>
    <t>SRR7660701</t>
  </si>
  <si>
    <t>SAMN09784352</t>
  </si>
  <si>
    <t>SRX4521367</t>
  </si>
  <si>
    <t>SRR7660712</t>
  </si>
  <si>
    <t>SRR7660713</t>
  </si>
  <si>
    <t>SRR7660714</t>
  </si>
  <si>
    <t>SAMN09784341</t>
  </si>
  <si>
    <t>SRX4521374</t>
  </si>
  <si>
    <t>SRR7660733</t>
  </si>
  <si>
    <t>SRR7660734</t>
  </si>
  <si>
    <t>SRR7660735</t>
  </si>
  <si>
    <t>SAMN09784316</t>
  </si>
  <si>
    <t>SRX4521349</t>
  </si>
  <si>
    <t>SRR7660686</t>
  </si>
  <si>
    <t>SRR7660687</t>
  </si>
  <si>
    <t>SAMN09784361</t>
  </si>
  <si>
    <t>SRX4521354</t>
  </si>
  <si>
    <t>SRR7660695</t>
  </si>
  <si>
    <t>SAMN09784350</t>
  </si>
  <si>
    <t>SRX4521361</t>
  </si>
  <si>
    <t>SRR7660702</t>
  </si>
  <si>
    <t>SAMN09784351</t>
  </si>
  <si>
    <t>SRX4521368</t>
  </si>
  <si>
    <t>SRR7660715</t>
  </si>
  <si>
    <t>SRR7660716</t>
  </si>
  <si>
    <t>SRR7660717</t>
  </si>
  <si>
    <t>SAMN09784340</t>
  </si>
  <si>
    <t>SRX4521375</t>
  </si>
  <si>
    <t>SRR7660736</t>
  </si>
  <si>
    <t>SRR7660737</t>
  </si>
  <si>
    <t>SRR7660738</t>
  </si>
  <si>
    <t>SAMN09784314</t>
  </si>
  <si>
    <t>SRX4521351</t>
  </si>
  <si>
    <t>SRR7660690</t>
  </si>
  <si>
    <t>ZIKV-SD001</t>
  </si>
  <si>
    <t>SRR7660691</t>
  </si>
  <si>
    <t>SAMN09784359</t>
  </si>
  <si>
    <t>SRX4521356</t>
  </si>
  <si>
    <t>SRR7660697</t>
  </si>
  <si>
    <t>SAMN09784349</t>
  </si>
  <si>
    <t>SRX4521362</t>
  </si>
  <si>
    <t>SRR7660703</t>
  </si>
  <si>
    <t>ZIKV-infected</t>
  </si>
  <si>
    <t>SAMN09784346</t>
  </si>
  <si>
    <t>SRX4521369</t>
  </si>
  <si>
    <t>SRR7660718</t>
  </si>
  <si>
    <t>SRR7660719</t>
  </si>
  <si>
    <t>SRR7660720</t>
  </si>
  <si>
    <t>SAMN09784339</t>
  </si>
  <si>
    <t>SRX4521376</t>
  </si>
  <si>
    <t>SRR7660739</t>
  </si>
  <si>
    <t>SRR7660740</t>
  </si>
  <si>
    <t>SRR7660741</t>
  </si>
  <si>
    <t>SAMN09784348</t>
  </si>
  <si>
    <t>SRX4521363</t>
  </si>
  <si>
    <t>SRR7660704</t>
  </si>
  <si>
    <t>SAMN09784345</t>
  </si>
  <si>
    <t>SRX4521370</t>
  </si>
  <si>
    <t>SRR7660721</t>
  </si>
  <si>
    <t>SRR7660722</t>
  </si>
  <si>
    <t>SRR7660723</t>
  </si>
  <si>
    <t>SAMN09784338</t>
  </si>
  <si>
    <t>SRX4521377</t>
  </si>
  <si>
    <t>SRR7660742</t>
  </si>
  <si>
    <t>SRR7660743</t>
  </si>
  <si>
    <t>SRR7660744</t>
  </si>
  <si>
    <t>SAMN09784315</t>
  </si>
  <si>
    <t>SRX4521350</t>
  </si>
  <si>
    <t>SRR7660688</t>
  </si>
  <si>
    <t>SRR7660689</t>
  </si>
  <si>
    <t>SAMN09784360</t>
  </si>
  <si>
    <t>SRX4521355</t>
  </si>
  <si>
    <t>SRR7660696</t>
  </si>
  <si>
    <t>SAMN09784347</t>
  </si>
  <si>
    <t>SRX4521364</t>
  </si>
  <si>
    <t>SRR7660705</t>
  </si>
  <si>
    <t>SAMN09784344</t>
  </si>
  <si>
    <t>SRX4521371</t>
  </si>
  <si>
    <t>SRR7660724</t>
  </si>
  <si>
    <t>SRR7660725</t>
  </si>
  <si>
    <t>SRR7660726</t>
  </si>
  <si>
    <t>SAMN09784337</t>
  </si>
  <si>
    <t>SRX4521378</t>
  </si>
  <si>
    <t>SRR7660745</t>
  </si>
  <si>
    <t>SRR7660746</t>
  </si>
  <si>
    <t>SRR7660747</t>
  </si>
  <si>
    <t>SAMN09784363</t>
  </si>
  <si>
    <t>SRX4521352</t>
  </si>
  <si>
    <t>SRR7660692</t>
  </si>
  <si>
    <t>SRR7660693</t>
  </si>
  <si>
    <t>SAMN09784358</t>
  </si>
  <si>
    <t>SRX4521357</t>
  </si>
  <si>
    <t>SRR7660698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</si>
</sst>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\h"/>
  </numFmts>
  <fonts count="1">
    <font>
      <sz val="11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indexed="2"/>
        <bgColor indexed="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horizontal="left"/>
    </xf>
    <xf fontId="0" fillId="0" borderId="0" numFmtId="0" xfId="0" applyAlignment="1">
      <alignment horizontal="left"/>
      <protection hidden="0" locked="1"/>
    </xf>
    <xf fontId="0" fillId="2" borderId="0" numFmtId="0" xfId="0" applyFill="1">
      <protection hidden="0" locked="1"/>
    </xf>
    <xf fontId="0" fillId="2" borderId="0" numFmtId="0" xfId="0" applyFill="1" applyAlignment="1">
      <alignment horizontal="left"/>
    </xf>
    <xf fontId="0" fillId="2" borderId="0" numFmtId="164" xfId="0" applyNumberFormat="1" applyFill="1"/>
    <xf fontId="0" fillId="2" borderId="0" numFmtId="0" xfId="0" applyFill="1" applyAlignment="1">
      <alignment horizontal="left"/>
      <protection hidden="0" locked="1"/>
    </xf>
    <xf fontId="0" fillId="3" borderId="0" numFmtId="0" xfId="0" applyFill="1">
      <protection hidden="0" locked="1"/>
    </xf>
    <xf fontId="0" fillId="3" borderId="0" numFmtId="0" xfId="0" applyFill="1" applyAlignment="1">
      <alignment horizontal="left"/>
    </xf>
    <xf fontId="0" fillId="3" borderId="0" numFmtId="164" xfId="0" applyNumberFormat="1" applyFill="1"/>
    <xf fontId="0" fillId="3" borderId="0" numFmtId="0" xfId="0" applyFill="1" applyAlignment="1">
      <alignment horizontal="left"/>
      <protection hidden="0" locked="1"/>
    </xf>
    <xf fontId="0" fillId="0" borderId="0" numFmtId="164" xfId="0" applyNumberFormat="1"/>
    <xf fontId="0" fillId="4" borderId="0" numFmtId="0" xfId="0" applyFill="1">
      <protection hidden="0" locked="1"/>
    </xf>
    <xf fontId="0" fillId="5" borderId="0" numFmtId="0" xfId="0" applyFill="1">
      <protection hidden="0" locked="1"/>
    </xf>
    <xf fontId="0" fillId="5" borderId="0" numFmtId="0" xfId="0" applyFill="1" applyAlignment="1">
      <alignment horizontal="left"/>
    </xf>
    <xf fontId="0" fillId="5" borderId="0" numFmtId="164" xfId="0" applyNumberFormat="1" applyFill="1"/>
    <xf fontId="0" fillId="5" borderId="0" numFmtId="0" xfId="0" applyFill="1" applyAlignment="1">
      <alignment horizontal="left"/>
      <protection hidden="0" locked="1"/>
    </xf>
    <xf fontId="0" fillId="4" borderId="0" numFmtId="0" xfId="0" applyFill="1" applyAlignment="1">
      <alignment horizontal="left"/>
    </xf>
    <xf fontId="0" fillId="4" borderId="0" numFmtId="164" xfId="0" applyNumberFormat="1" applyFill="1"/>
    <xf fontId="0" fillId="4" borderId="0" numFmtId="0" xfId="0" applyFill="1" applyAlignment="1">
      <alignment horizontal="left"/>
      <protection hidden="0" locked="1"/>
    </xf>
    <xf fontId="0" fillId="6" borderId="0" numFmtId="0" xfId="0" applyFill="1">
      <protection hidden="0" locked="1"/>
    </xf>
    <xf fontId="0" fillId="6" borderId="0" numFmtId="0" xfId="0" applyFill="1" applyAlignment="1">
      <alignment horizontal="left"/>
    </xf>
    <xf fontId="0" fillId="6" borderId="0" numFmtId="164" xfId="0" applyNumberFormat="1" applyFill="1"/>
    <xf fontId="0" fillId="6" borderId="0" numFmtId="0" xfId="0" applyFill="1" applyAlignment="1">
      <alignment horizontal="left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A1" activeCellId="0" sqref="A1"/>
    </sheetView>
  </sheetViews>
  <sheetFormatPr defaultRowHeight="14.25"/>
  <cols>
    <col customWidth="1" hidden="1" min="1" max="1" width="16.28125"/>
    <col customWidth="1" hidden="1" min="2" max="2" width="14.421875"/>
    <col customWidth="1" min="3" max="3" width="15.00390625"/>
    <col customWidth="1" min="4" max="4" width="14.28125"/>
    <col customWidth="1" hidden="1" min="5" max="5" width="11.28125"/>
    <col customWidth="1" hidden="1" min="6" max="6" width="15.57421875"/>
    <col customWidth="1" hidden="1" min="7" max="7" width="16.28125"/>
    <col customWidth="1" hidden="1" min="8" max="9" width="0"/>
    <col customWidth="1" hidden="1" min="10" max="10" width="15.140625"/>
    <col customWidth="1" min="11" max="11" width="17.140625"/>
    <col customWidth="1" min="12" max="12" width="33.00390625"/>
  </cols>
  <sheetData>
    <row r="1" ht="14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/>
      <c r="I1" s="1" t="str">
        <f>E1</f>
        <v>time_post_infection_viral_infection</v>
      </c>
      <c r="J1" s="1" t="str">
        <f>F1</f>
        <v>viral_infection</v>
      </c>
      <c r="K1" s="1" t="str">
        <f>G1</f>
        <v>viral_strain</v>
      </c>
      <c r="L1" s="1" t="s">
        <v>7</v>
      </c>
      <c r="M1" s="1" t="s">
        <v>8</v>
      </c>
    </row>
    <row r="2" ht="14.25">
      <c r="A2" s="1" t="s">
        <v>9</v>
      </c>
      <c r="B2" s="1" t="s">
        <v>10</v>
      </c>
      <c r="C2" s="4" t="s">
        <v>11</v>
      </c>
      <c r="D2" s="5" t="s">
        <v>12</v>
      </c>
      <c r="E2" s="6">
        <v>24</v>
      </c>
      <c r="F2" s="7" t="s">
        <v>13</v>
      </c>
      <c r="G2" s="7" t="s">
        <v>14</v>
      </c>
      <c r="H2" s="4"/>
      <c r="I2" s="4" t="str">
        <f t="shared" ref="I2:I9" si="0">IF(E2=24,"24 h",IF(E2=18,"18 h",IF(E2=12,"12 h","Nilai Tidak Dikenali")))</f>
        <v xml:space="preserve">24 h</v>
      </c>
      <c r="J2" s="4" t="str">
        <f t="shared" ref="J2:J9" si="1">IF(F2="mock infected","mock infected",IF(F2="ZIKV-bystander","ZIKV-bystander",IF(F2="ZIKV-infected","ZIKV-infected","Error")))</f>
        <v xml:space="preserve">mock infected</v>
      </c>
      <c r="K2" s="4" t="str">
        <f t="shared" ref="K2:K9" si="2">IF(G2="NA","NA",IF(G2="ZIKV-FSS13025","ZIKY-FSS13025",IF(G2="ZIKV-SD001","ZIKY-SD001","Error")))</f>
        <v>NA</v>
      </c>
      <c r="L2" s="4" t="str">
        <f t="shared" ref="L2:L9" si="3">J2&amp;" "&amp;I2&amp;" "&amp;K2</f>
        <v xml:space="preserve">mock infected 24 h NA</v>
      </c>
      <c r="M2" s="4">
        <v>1</v>
      </c>
    </row>
    <row r="3" ht="14.25">
      <c r="A3" s="1" t="s">
        <v>9</v>
      </c>
      <c r="B3" s="1" t="s">
        <v>10</v>
      </c>
      <c r="C3" s="4" t="s">
        <v>11</v>
      </c>
      <c r="D3" s="5" t="s">
        <v>15</v>
      </c>
      <c r="E3" s="6">
        <v>24</v>
      </c>
      <c r="F3" s="7" t="s">
        <v>13</v>
      </c>
      <c r="G3" s="7" t="s">
        <v>14</v>
      </c>
      <c r="H3" s="4"/>
      <c r="I3" s="4" t="str">
        <f t="shared" si="0"/>
        <v xml:space="preserve">24 h</v>
      </c>
      <c r="J3" s="4" t="str">
        <f t="shared" si="1"/>
        <v xml:space="preserve">mock infected</v>
      </c>
      <c r="K3" s="4" t="str">
        <f t="shared" si="2"/>
        <v>NA</v>
      </c>
      <c r="L3" s="4" t="str">
        <f t="shared" si="3"/>
        <v xml:space="preserve">mock infected 24 h NA</v>
      </c>
      <c r="M3" s="4">
        <v>2</v>
      </c>
    </row>
    <row r="4" ht="14.25">
      <c r="A4" s="1" t="s">
        <v>9</v>
      </c>
      <c r="B4" s="1" t="s">
        <v>16</v>
      </c>
      <c r="C4" s="8" t="s">
        <v>17</v>
      </c>
      <c r="D4" s="9" t="s">
        <v>18</v>
      </c>
      <c r="E4" s="10">
        <v>24</v>
      </c>
      <c r="F4" s="11" t="s">
        <v>13</v>
      </c>
      <c r="G4" s="11" t="s">
        <v>14</v>
      </c>
      <c r="H4" s="8"/>
      <c r="I4" s="8" t="str">
        <f t="shared" si="0"/>
        <v xml:space="preserve">24 h</v>
      </c>
      <c r="J4" s="8" t="str">
        <f t="shared" si="1"/>
        <v xml:space="preserve">mock infected</v>
      </c>
      <c r="K4" s="8" t="str">
        <f t="shared" si="2"/>
        <v>NA</v>
      </c>
      <c r="L4" s="8" t="str">
        <f t="shared" si="3"/>
        <v xml:space="preserve">mock infected 24 h NA</v>
      </c>
      <c r="M4" s="8">
        <v>3</v>
      </c>
    </row>
    <row r="5" ht="14.25">
      <c r="A5" s="1" t="s">
        <v>9</v>
      </c>
      <c r="B5" s="1" t="s">
        <v>19</v>
      </c>
      <c r="C5" s="1" t="s">
        <v>20</v>
      </c>
      <c r="D5" s="2" t="s">
        <v>21</v>
      </c>
      <c r="E5" s="12">
        <v>24</v>
      </c>
      <c r="F5" s="3" t="s">
        <v>13</v>
      </c>
      <c r="G5" s="3" t="s">
        <v>14</v>
      </c>
      <c r="H5" s="1"/>
      <c r="I5" s="1" t="str">
        <f t="shared" si="0"/>
        <v xml:space="preserve">24 h</v>
      </c>
      <c r="J5" s="1" t="str">
        <f t="shared" si="1"/>
        <v xml:space="preserve">mock infected</v>
      </c>
      <c r="K5" s="1" t="str">
        <f t="shared" si="2"/>
        <v>NA</v>
      </c>
      <c r="L5" s="1" t="str">
        <f t="shared" si="3"/>
        <v xml:space="preserve">mock infected 24 h NA</v>
      </c>
      <c r="M5" s="1">
        <v>1</v>
      </c>
    </row>
    <row r="6" ht="14.25">
      <c r="A6" s="1" t="s">
        <v>9</v>
      </c>
      <c r="B6" s="1" t="s">
        <v>22</v>
      </c>
      <c r="C6" s="8" t="s">
        <v>23</v>
      </c>
      <c r="D6" s="9" t="s">
        <v>24</v>
      </c>
      <c r="E6" s="10">
        <v>24</v>
      </c>
      <c r="F6" s="11" t="s">
        <v>13</v>
      </c>
      <c r="G6" s="11" t="s">
        <v>14</v>
      </c>
      <c r="H6" s="8"/>
      <c r="I6" s="8" t="str">
        <f t="shared" si="0"/>
        <v xml:space="preserve">24 h</v>
      </c>
      <c r="J6" s="8" t="str">
        <f t="shared" si="1"/>
        <v xml:space="preserve">mock infected</v>
      </c>
      <c r="K6" s="8" t="str">
        <f t="shared" si="2"/>
        <v>NA</v>
      </c>
      <c r="L6" s="8" t="str">
        <f t="shared" si="3"/>
        <v xml:space="preserve">mock infected 24 h NA</v>
      </c>
      <c r="M6" s="8">
        <v>2</v>
      </c>
    </row>
    <row r="7" ht="14.25">
      <c r="A7" s="1" t="s">
        <v>9</v>
      </c>
      <c r="B7" s="1" t="s">
        <v>22</v>
      </c>
      <c r="C7" s="8" t="s">
        <v>23</v>
      </c>
      <c r="D7" s="9" t="s">
        <v>25</v>
      </c>
      <c r="E7" s="10">
        <v>24</v>
      </c>
      <c r="F7" s="11" t="s">
        <v>13</v>
      </c>
      <c r="G7" s="11" t="s">
        <v>14</v>
      </c>
      <c r="H7" s="8"/>
      <c r="I7" s="8" t="str">
        <f t="shared" si="0"/>
        <v xml:space="preserve">24 h</v>
      </c>
      <c r="J7" s="8" t="str">
        <f t="shared" si="1"/>
        <v xml:space="preserve">mock infected</v>
      </c>
      <c r="K7" s="8" t="str">
        <f t="shared" si="2"/>
        <v>NA</v>
      </c>
      <c r="L7" s="8" t="str">
        <f t="shared" si="3"/>
        <v xml:space="preserve">mock infected 24 h NA</v>
      </c>
      <c r="M7" s="8">
        <v>3</v>
      </c>
    </row>
    <row r="8" ht="14.25">
      <c r="A8" s="1" t="s">
        <v>9</v>
      </c>
      <c r="B8" s="1" t="s">
        <v>22</v>
      </c>
      <c r="C8" s="8" t="s">
        <v>23</v>
      </c>
      <c r="D8" s="9" t="s">
        <v>26</v>
      </c>
      <c r="E8" s="10">
        <v>24</v>
      </c>
      <c r="F8" s="11" t="s">
        <v>13</v>
      </c>
      <c r="G8" s="11" t="s">
        <v>14</v>
      </c>
      <c r="H8" s="8"/>
      <c r="I8" s="8" t="str">
        <f t="shared" si="0"/>
        <v xml:space="preserve">24 h</v>
      </c>
      <c r="J8" s="8" t="str">
        <f t="shared" si="1"/>
        <v xml:space="preserve">mock infected</v>
      </c>
      <c r="K8" s="8" t="str">
        <f t="shared" si="2"/>
        <v>NA</v>
      </c>
      <c r="L8" s="8" t="str">
        <f t="shared" si="3"/>
        <v xml:space="preserve">mock infected 24 h NA</v>
      </c>
      <c r="M8" s="8">
        <v>4</v>
      </c>
    </row>
    <row r="9" ht="14.25">
      <c r="A9" s="1" t="s">
        <v>9</v>
      </c>
      <c r="B9" s="1" t="s">
        <v>27</v>
      </c>
      <c r="C9" s="13" t="s">
        <v>28</v>
      </c>
      <c r="D9" s="2" t="s">
        <v>29</v>
      </c>
      <c r="E9" s="12">
        <v>24</v>
      </c>
      <c r="F9" s="3" t="s">
        <v>13</v>
      </c>
      <c r="G9" s="3" t="s">
        <v>14</v>
      </c>
      <c r="H9" s="1"/>
      <c r="I9" s="1" t="str">
        <f t="shared" si="0"/>
        <v xml:space="preserve">24 h</v>
      </c>
      <c r="J9" s="1" t="str">
        <f t="shared" si="1"/>
        <v xml:space="preserve">mock infected</v>
      </c>
      <c r="K9" s="1" t="str">
        <f t="shared" si="2"/>
        <v>NA</v>
      </c>
      <c r="L9" s="1" t="str">
        <f t="shared" si="3"/>
        <v xml:space="preserve">mock infected 24 h NA</v>
      </c>
      <c r="M9" s="1">
        <v>5</v>
      </c>
    </row>
    <row r="10" ht="14.25">
      <c r="A10" s="1" t="s">
        <v>9</v>
      </c>
      <c r="B10" s="1" t="s">
        <v>27</v>
      </c>
      <c r="C10" s="13" t="s">
        <v>28</v>
      </c>
      <c r="D10" s="2" t="s">
        <v>30</v>
      </c>
      <c r="E10" s="12">
        <v>24</v>
      </c>
      <c r="F10" s="3" t="s">
        <v>13</v>
      </c>
      <c r="G10" s="3" t="s">
        <v>14</v>
      </c>
      <c r="H10" s="1"/>
      <c r="I10" s="1" t="str">
        <f t="shared" ref="I10:I65" si="4">IF(E10=24,"24 h",IF(E10=18,"18 h",IF(E10=12,"12 h","Nilai Tidak Dikenali")))</f>
        <v xml:space="preserve">24 h</v>
      </c>
      <c r="J10" s="1" t="str">
        <f t="shared" ref="J10:J65" si="5">IF(F10="mock infected","mock infected",IF(F10="ZIKV-bystander","ZIKV-bystander",IF(F10="ZIKV-infected","ZIKV-infected","Error")))</f>
        <v xml:space="preserve">mock infected</v>
      </c>
      <c r="K10" s="1" t="str">
        <f t="shared" ref="K10:K65" si="6">IF(G10="NA","NA",IF(G10="ZIKV-FSS13025","ZIKY-FSS13025",IF(G10="ZIKV-SD001","ZIKY-SD001","Error")))</f>
        <v>NA</v>
      </c>
      <c r="L10" s="1" t="str">
        <f t="shared" ref="L10:L65" si="7">J10&amp;" "&amp;I10&amp;" "&amp;K10</f>
        <v xml:space="preserve">mock infected 24 h NA</v>
      </c>
      <c r="M10" s="1">
        <v>6</v>
      </c>
    </row>
    <row r="11" ht="14.25">
      <c r="A11" s="1" t="s">
        <v>9</v>
      </c>
      <c r="B11" s="1" t="s">
        <v>27</v>
      </c>
      <c r="C11" s="13" t="s">
        <v>28</v>
      </c>
      <c r="D11" s="2" t="s">
        <v>31</v>
      </c>
      <c r="E11" s="12">
        <v>24</v>
      </c>
      <c r="F11" s="3" t="s">
        <v>13</v>
      </c>
      <c r="G11" s="3" t="s">
        <v>14</v>
      </c>
      <c r="H11" s="1"/>
      <c r="I11" s="1" t="str">
        <f t="shared" si="4"/>
        <v xml:space="preserve">24 h</v>
      </c>
      <c r="J11" s="1" t="str">
        <f t="shared" si="5"/>
        <v xml:space="preserve">mock infected</v>
      </c>
      <c r="K11" s="1" t="str">
        <f t="shared" si="6"/>
        <v>NA</v>
      </c>
      <c r="L11" s="1" t="str">
        <f t="shared" si="7"/>
        <v xml:space="preserve">mock infected 24 h NA</v>
      </c>
      <c r="M11" s="1">
        <v>7</v>
      </c>
    </row>
    <row r="12" ht="14.25">
      <c r="A12" s="1" t="s">
        <v>9</v>
      </c>
      <c r="B12" s="1" t="s">
        <v>32</v>
      </c>
      <c r="C12" s="8" t="s">
        <v>33</v>
      </c>
      <c r="D12" s="9" t="s">
        <v>34</v>
      </c>
      <c r="E12" s="10">
        <v>12</v>
      </c>
      <c r="F12" s="11" t="s">
        <v>35</v>
      </c>
      <c r="G12" s="11" t="s">
        <v>36</v>
      </c>
      <c r="H12" s="8"/>
      <c r="I12" s="8" t="str">
        <f t="shared" si="4"/>
        <v xml:space="preserve">12 h</v>
      </c>
      <c r="J12" s="8" t="str">
        <f t="shared" si="5"/>
        <v>ZIKV-bystander</v>
      </c>
      <c r="K12" s="8" t="str">
        <f t="shared" si="6"/>
        <v>ZIKY-FSS13025</v>
      </c>
      <c r="L12" s="8" t="str">
        <f t="shared" si="7"/>
        <v xml:space="preserve">ZIKV-bystander 12 h ZIKY-FSS13025</v>
      </c>
      <c r="M12" s="8">
        <v>1</v>
      </c>
    </row>
    <row r="13" ht="14.25">
      <c r="A13" s="1" t="s">
        <v>9</v>
      </c>
      <c r="B13" s="1" t="s">
        <v>37</v>
      </c>
      <c r="C13" s="4" t="s">
        <v>38</v>
      </c>
      <c r="D13" s="5" t="s">
        <v>39</v>
      </c>
      <c r="E13" s="6">
        <v>12</v>
      </c>
      <c r="F13" s="7" t="s">
        <v>35</v>
      </c>
      <c r="G13" s="7" t="s">
        <v>36</v>
      </c>
      <c r="H13" s="4"/>
      <c r="I13" s="4" t="str">
        <f t="shared" si="4"/>
        <v xml:space="preserve">12 h</v>
      </c>
      <c r="J13" s="4" t="str">
        <f t="shared" si="5"/>
        <v>ZIKV-bystander</v>
      </c>
      <c r="K13" s="4" t="str">
        <f t="shared" si="6"/>
        <v>ZIKY-FSS13025</v>
      </c>
      <c r="L13" s="4" t="str">
        <f t="shared" si="7"/>
        <v xml:space="preserve">ZIKV-bystander 12 h ZIKY-FSS13025</v>
      </c>
      <c r="M13" s="4">
        <v>2</v>
      </c>
    </row>
    <row r="14" ht="14.25">
      <c r="A14" s="1" t="s">
        <v>9</v>
      </c>
      <c r="B14" s="1" t="s">
        <v>37</v>
      </c>
      <c r="C14" s="4" t="s">
        <v>38</v>
      </c>
      <c r="D14" s="5" t="s">
        <v>40</v>
      </c>
      <c r="E14" s="6">
        <v>12</v>
      </c>
      <c r="F14" s="7" t="s">
        <v>35</v>
      </c>
      <c r="G14" s="7" t="s">
        <v>36</v>
      </c>
      <c r="H14" s="4"/>
      <c r="I14" s="4" t="str">
        <f t="shared" si="4"/>
        <v xml:space="preserve">12 h</v>
      </c>
      <c r="J14" s="4" t="str">
        <f t="shared" si="5"/>
        <v>ZIKV-bystander</v>
      </c>
      <c r="K14" s="4" t="str">
        <f t="shared" si="6"/>
        <v>ZIKY-FSS13025</v>
      </c>
      <c r="L14" s="4" t="str">
        <f t="shared" si="7"/>
        <v xml:space="preserve">ZIKV-bystander 12 h ZIKY-FSS13025</v>
      </c>
      <c r="M14" s="4">
        <v>3</v>
      </c>
    </row>
    <row r="15" ht="14.25">
      <c r="A15" s="1" t="s">
        <v>9</v>
      </c>
      <c r="B15" s="1" t="s">
        <v>37</v>
      </c>
      <c r="C15" s="4" t="s">
        <v>38</v>
      </c>
      <c r="D15" s="5" t="s">
        <v>41</v>
      </c>
      <c r="E15" s="6">
        <v>12</v>
      </c>
      <c r="F15" s="7" t="s">
        <v>35</v>
      </c>
      <c r="G15" s="7" t="s">
        <v>36</v>
      </c>
      <c r="H15" s="4"/>
      <c r="I15" s="4" t="str">
        <f t="shared" si="4"/>
        <v xml:space="preserve">12 h</v>
      </c>
      <c r="J15" s="4" t="str">
        <f t="shared" si="5"/>
        <v>ZIKV-bystander</v>
      </c>
      <c r="K15" s="4" t="str">
        <f t="shared" si="6"/>
        <v>ZIKY-FSS13025</v>
      </c>
      <c r="L15" s="4" t="str">
        <f t="shared" si="7"/>
        <v xml:space="preserve">ZIKV-bystander 12 h ZIKY-FSS13025</v>
      </c>
      <c r="M15" s="4">
        <v>4</v>
      </c>
    </row>
    <row r="16" ht="14.25">
      <c r="A16" s="1" t="s">
        <v>9</v>
      </c>
      <c r="B16" s="1" t="s">
        <v>42</v>
      </c>
      <c r="C16" s="14" t="s">
        <v>43</v>
      </c>
      <c r="D16" s="15" t="s">
        <v>44</v>
      </c>
      <c r="E16" s="16">
        <v>12</v>
      </c>
      <c r="F16" s="17" t="s">
        <v>35</v>
      </c>
      <c r="G16" s="17" t="s">
        <v>36</v>
      </c>
      <c r="H16" s="14"/>
      <c r="I16" s="14" t="str">
        <f t="shared" si="4"/>
        <v xml:space="preserve">12 h</v>
      </c>
      <c r="J16" s="14" t="str">
        <f t="shared" si="5"/>
        <v>ZIKV-bystander</v>
      </c>
      <c r="K16" s="14" t="str">
        <f t="shared" si="6"/>
        <v>ZIKY-FSS13025</v>
      </c>
      <c r="L16" s="14" t="str">
        <f t="shared" si="7"/>
        <v xml:space="preserve">ZIKV-bystander 12 h ZIKY-FSS13025</v>
      </c>
      <c r="M16" s="14">
        <v>5</v>
      </c>
    </row>
    <row r="17" ht="14.25">
      <c r="A17" s="1" t="s">
        <v>9</v>
      </c>
      <c r="B17" s="1" t="s">
        <v>42</v>
      </c>
      <c r="C17" s="14" t="s">
        <v>43</v>
      </c>
      <c r="D17" s="15" t="s">
        <v>45</v>
      </c>
      <c r="E17" s="16">
        <v>12</v>
      </c>
      <c r="F17" s="17" t="s">
        <v>35</v>
      </c>
      <c r="G17" s="17" t="s">
        <v>36</v>
      </c>
      <c r="H17" s="14"/>
      <c r="I17" s="14" t="str">
        <f t="shared" si="4"/>
        <v xml:space="preserve">12 h</v>
      </c>
      <c r="J17" s="14" t="str">
        <f t="shared" si="5"/>
        <v>ZIKV-bystander</v>
      </c>
      <c r="K17" s="14" t="str">
        <f t="shared" si="6"/>
        <v>ZIKY-FSS13025</v>
      </c>
      <c r="L17" s="14" t="str">
        <f t="shared" si="7"/>
        <v xml:space="preserve">ZIKV-bystander 12 h ZIKY-FSS13025</v>
      </c>
      <c r="M17" s="14">
        <v>6</v>
      </c>
    </row>
    <row r="18" ht="14.25">
      <c r="A18" s="1" t="s">
        <v>9</v>
      </c>
      <c r="B18" s="1" t="s">
        <v>42</v>
      </c>
      <c r="C18" s="14" t="s">
        <v>43</v>
      </c>
      <c r="D18" s="15" t="s">
        <v>46</v>
      </c>
      <c r="E18" s="16">
        <v>12</v>
      </c>
      <c r="F18" s="17" t="s">
        <v>35</v>
      </c>
      <c r="G18" s="17" t="s">
        <v>36</v>
      </c>
      <c r="H18" s="14"/>
      <c r="I18" s="14" t="str">
        <f t="shared" si="4"/>
        <v xml:space="preserve">12 h</v>
      </c>
      <c r="J18" s="14" t="str">
        <f t="shared" si="5"/>
        <v>ZIKV-bystander</v>
      </c>
      <c r="K18" s="14" t="str">
        <f t="shared" si="6"/>
        <v>ZIKY-FSS13025</v>
      </c>
      <c r="L18" s="14" t="str">
        <f t="shared" si="7"/>
        <v xml:space="preserve">ZIKV-bystander 12 h ZIKY-FSS13025</v>
      </c>
      <c r="M18" s="14">
        <v>7</v>
      </c>
    </row>
    <row r="19" ht="14.25">
      <c r="A19" s="1" t="s">
        <v>9</v>
      </c>
      <c r="B19" s="1" t="s">
        <v>47</v>
      </c>
      <c r="C19" s="8" t="s">
        <v>48</v>
      </c>
      <c r="D19" s="9" t="s">
        <v>49</v>
      </c>
      <c r="E19" s="10">
        <v>18</v>
      </c>
      <c r="F19" s="11" t="s">
        <v>35</v>
      </c>
      <c r="G19" s="11" t="s">
        <v>36</v>
      </c>
      <c r="H19" s="8"/>
      <c r="I19" s="8" t="str">
        <f t="shared" si="4"/>
        <v xml:space="preserve">18 h</v>
      </c>
      <c r="J19" s="8" t="str">
        <f t="shared" si="5"/>
        <v>ZIKV-bystander</v>
      </c>
      <c r="K19" s="8" t="str">
        <f t="shared" si="6"/>
        <v>ZIKY-FSS13025</v>
      </c>
      <c r="L19" s="8" t="str">
        <f t="shared" si="7"/>
        <v xml:space="preserve">ZIKV-bystander 18 h ZIKY-FSS13025</v>
      </c>
      <c r="M19" s="8">
        <v>1</v>
      </c>
    </row>
    <row r="20" ht="14.25">
      <c r="A20" s="1" t="s">
        <v>9</v>
      </c>
      <c r="B20" s="1" t="s">
        <v>50</v>
      </c>
      <c r="C20" s="4" t="s">
        <v>51</v>
      </c>
      <c r="D20" s="5" t="s">
        <v>52</v>
      </c>
      <c r="E20" s="6">
        <v>18</v>
      </c>
      <c r="F20" s="7" t="s">
        <v>35</v>
      </c>
      <c r="G20" s="7" t="s">
        <v>36</v>
      </c>
      <c r="H20" s="4"/>
      <c r="I20" s="4" t="str">
        <f t="shared" si="4"/>
        <v xml:space="preserve">18 h</v>
      </c>
      <c r="J20" s="4" t="str">
        <f t="shared" si="5"/>
        <v>ZIKV-bystander</v>
      </c>
      <c r="K20" s="4" t="str">
        <f t="shared" si="6"/>
        <v>ZIKY-FSS13025</v>
      </c>
      <c r="L20" s="4" t="str">
        <f t="shared" si="7"/>
        <v xml:space="preserve">ZIKV-bystander 18 h ZIKY-FSS13025</v>
      </c>
      <c r="M20" s="4">
        <v>2</v>
      </c>
    </row>
    <row r="21" ht="14.25">
      <c r="A21" s="1" t="s">
        <v>9</v>
      </c>
      <c r="B21" s="1" t="s">
        <v>50</v>
      </c>
      <c r="C21" s="4" t="s">
        <v>51</v>
      </c>
      <c r="D21" s="5" t="s">
        <v>53</v>
      </c>
      <c r="E21" s="6">
        <v>18</v>
      </c>
      <c r="F21" s="7" t="s">
        <v>35</v>
      </c>
      <c r="G21" s="7" t="s">
        <v>36</v>
      </c>
      <c r="H21" s="4"/>
      <c r="I21" s="4" t="str">
        <f t="shared" si="4"/>
        <v xml:space="preserve">18 h</v>
      </c>
      <c r="J21" s="4" t="str">
        <f t="shared" si="5"/>
        <v>ZIKV-bystander</v>
      </c>
      <c r="K21" s="4" t="str">
        <f t="shared" si="6"/>
        <v>ZIKY-FSS13025</v>
      </c>
      <c r="L21" s="4" t="str">
        <f t="shared" si="7"/>
        <v xml:space="preserve">ZIKV-bystander 18 h ZIKY-FSS13025</v>
      </c>
      <c r="M21" s="4">
        <v>3</v>
      </c>
    </row>
    <row r="22" ht="14.25">
      <c r="A22" s="1" t="s">
        <v>9</v>
      </c>
      <c r="B22" s="1" t="s">
        <v>50</v>
      </c>
      <c r="C22" s="4" t="s">
        <v>51</v>
      </c>
      <c r="D22" s="5" t="s">
        <v>54</v>
      </c>
      <c r="E22" s="6">
        <v>18</v>
      </c>
      <c r="F22" s="7" t="s">
        <v>35</v>
      </c>
      <c r="G22" s="7" t="s">
        <v>36</v>
      </c>
      <c r="H22" s="4"/>
      <c r="I22" s="4" t="str">
        <f t="shared" si="4"/>
        <v xml:space="preserve">18 h</v>
      </c>
      <c r="J22" s="4" t="str">
        <f t="shared" si="5"/>
        <v>ZIKV-bystander</v>
      </c>
      <c r="K22" s="4" t="str">
        <f t="shared" si="6"/>
        <v>ZIKY-FSS13025</v>
      </c>
      <c r="L22" s="4" t="str">
        <f t="shared" si="7"/>
        <v xml:space="preserve">ZIKV-bystander 18 h ZIKY-FSS13025</v>
      </c>
      <c r="M22" s="4">
        <v>4</v>
      </c>
    </row>
    <row r="23" ht="14.25">
      <c r="A23" s="1" t="s">
        <v>9</v>
      </c>
      <c r="B23" s="1" t="s">
        <v>55</v>
      </c>
      <c r="C23" s="14" t="s">
        <v>56</v>
      </c>
      <c r="D23" s="15" t="s">
        <v>57</v>
      </c>
      <c r="E23" s="16">
        <v>18</v>
      </c>
      <c r="F23" s="17" t="s">
        <v>35</v>
      </c>
      <c r="G23" s="17" t="s">
        <v>36</v>
      </c>
      <c r="H23" s="14"/>
      <c r="I23" s="14" t="str">
        <f t="shared" si="4"/>
        <v xml:space="preserve">18 h</v>
      </c>
      <c r="J23" s="14" t="str">
        <f t="shared" si="5"/>
        <v>ZIKV-bystander</v>
      </c>
      <c r="K23" s="14" t="str">
        <f t="shared" si="6"/>
        <v>ZIKY-FSS13025</v>
      </c>
      <c r="L23" s="14" t="str">
        <f t="shared" si="7"/>
        <v xml:space="preserve">ZIKV-bystander 18 h ZIKY-FSS13025</v>
      </c>
      <c r="M23" s="14">
        <v>5</v>
      </c>
    </row>
    <row r="24" ht="14.25">
      <c r="A24" s="1" t="s">
        <v>9</v>
      </c>
      <c r="B24" s="1" t="s">
        <v>55</v>
      </c>
      <c r="C24" s="14" t="s">
        <v>56</v>
      </c>
      <c r="D24" s="15" t="s">
        <v>58</v>
      </c>
      <c r="E24" s="16">
        <v>18</v>
      </c>
      <c r="F24" s="17" t="s">
        <v>35</v>
      </c>
      <c r="G24" s="17" t="s">
        <v>36</v>
      </c>
      <c r="H24" s="14"/>
      <c r="I24" s="14" t="str">
        <f t="shared" si="4"/>
        <v xml:space="preserve">18 h</v>
      </c>
      <c r="J24" s="14" t="str">
        <f t="shared" si="5"/>
        <v>ZIKV-bystander</v>
      </c>
      <c r="K24" s="14" t="str">
        <f t="shared" si="6"/>
        <v>ZIKY-FSS13025</v>
      </c>
      <c r="L24" s="14" t="str">
        <f t="shared" si="7"/>
        <v xml:space="preserve">ZIKV-bystander 18 h ZIKY-FSS13025</v>
      </c>
      <c r="M24" s="14">
        <v>6</v>
      </c>
    </row>
    <row r="25" ht="14.25">
      <c r="A25" s="1" t="s">
        <v>9</v>
      </c>
      <c r="B25" s="1" t="s">
        <v>55</v>
      </c>
      <c r="C25" s="14" t="s">
        <v>56</v>
      </c>
      <c r="D25" s="15" t="s">
        <v>59</v>
      </c>
      <c r="E25" s="16">
        <v>18</v>
      </c>
      <c r="F25" s="17" t="s">
        <v>35</v>
      </c>
      <c r="G25" s="17" t="s">
        <v>36</v>
      </c>
      <c r="H25" s="14"/>
      <c r="I25" s="14" t="str">
        <f t="shared" si="4"/>
        <v xml:space="preserve">18 h</v>
      </c>
      <c r="J25" s="14" t="str">
        <f t="shared" si="5"/>
        <v>ZIKV-bystander</v>
      </c>
      <c r="K25" s="14" t="str">
        <f t="shared" si="6"/>
        <v>ZIKY-FSS13025</v>
      </c>
      <c r="L25" s="14" t="str">
        <f t="shared" si="7"/>
        <v xml:space="preserve">ZIKV-bystander 18 h ZIKY-FSS13025</v>
      </c>
      <c r="M25" s="14">
        <v>7</v>
      </c>
    </row>
    <row r="26" ht="14.25">
      <c r="A26" s="1" t="s">
        <v>9</v>
      </c>
      <c r="B26" s="1" t="s">
        <v>60</v>
      </c>
      <c r="C26" s="8" t="s">
        <v>61</v>
      </c>
      <c r="D26" s="9" t="s">
        <v>62</v>
      </c>
      <c r="E26" s="10">
        <v>24</v>
      </c>
      <c r="F26" s="11" t="s">
        <v>35</v>
      </c>
      <c r="G26" s="11" t="s">
        <v>36</v>
      </c>
      <c r="H26" s="8"/>
      <c r="I26" s="8" t="str">
        <f t="shared" si="4"/>
        <v xml:space="preserve">24 h</v>
      </c>
      <c r="J26" s="8" t="str">
        <f t="shared" si="5"/>
        <v>ZIKV-bystander</v>
      </c>
      <c r="K26" s="8" t="str">
        <f t="shared" si="6"/>
        <v>ZIKY-FSS13025</v>
      </c>
      <c r="L26" s="8" t="str">
        <f t="shared" si="7"/>
        <v xml:space="preserve">ZIKV-bystander 24 h ZIKY-FSS13025</v>
      </c>
      <c r="M26" s="8">
        <v>1</v>
      </c>
    </row>
    <row r="27" ht="14.25">
      <c r="A27" s="1" t="s">
        <v>9</v>
      </c>
      <c r="B27" s="1" t="s">
        <v>60</v>
      </c>
      <c r="C27" s="8" t="s">
        <v>61</v>
      </c>
      <c r="D27" s="9" t="s">
        <v>63</v>
      </c>
      <c r="E27" s="10">
        <v>24</v>
      </c>
      <c r="F27" s="11" t="s">
        <v>35</v>
      </c>
      <c r="G27" s="11" t="s">
        <v>36</v>
      </c>
      <c r="H27" s="8"/>
      <c r="I27" s="8" t="str">
        <f t="shared" si="4"/>
        <v xml:space="preserve">24 h</v>
      </c>
      <c r="J27" s="8" t="str">
        <f t="shared" si="5"/>
        <v>ZIKV-bystander</v>
      </c>
      <c r="K27" s="8" t="str">
        <f t="shared" si="6"/>
        <v>ZIKY-FSS13025</v>
      </c>
      <c r="L27" s="8" t="str">
        <f t="shared" si="7"/>
        <v xml:space="preserve">ZIKV-bystander 24 h ZIKY-FSS13025</v>
      </c>
      <c r="M27" s="8">
        <v>2</v>
      </c>
    </row>
    <row r="28" ht="14.25">
      <c r="A28" s="1" t="s">
        <v>9</v>
      </c>
      <c r="B28" s="1" t="s">
        <v>64</v>
      </c>
      <c r="C28" s="4" t="s">
        <v>65</v>
      </c>
      <c r="D28" s="5" t="s">
        <v>66</v>
      </c>
      <c r="E28" s="6">
        <v>24</v>
      </c>
      <c r="F28" s="7" t="s">
        <v>35</v>
      </c>
      <c r="G28" s="7" t="s">
        <v>36</v>
      </c>
      <c r="H28" s="4"/>
      <c r="I28" s="4" t="str">
        <f t="shared" si="4"/>
        <v xml:space="preserve">24 h</v>
      </c>
      <c r="J28" s="4" t="str">
        <f t="shared" si="5"/>
        <v>ZIKV-bystander</v>
      </c>
      <c r="K28" s="4" t="str">
        <f t="shared" si="6"/>
        <v>ZIKY-FSS13025</v>
      </c>
      <c r="L28" s="4" t="str">
        <f t="shared" si="7"/>
        <v xml:space="preserve">ZIKV-bystander 24 h ZIKY-FSS13025</v>
      </c>
      <c r="M28" s="4">
        <v>3</v>
      </c>
    </row>
    <row r="29" ht="14.25">
      <c r="A29" s="1" t="s">
        <v>9</v>
      </c>
      <c r="B29" s="1" t="s">
        <v>67</v>
      </c>
      <c r="C29" s="4" t="s">
        <v>68</v>
      </c>
      <c r="D29" s="5" t="s">
        <v>69</v>
      </c>
      <c r="E29" s="6">
        <v>24</v>
      </c>
      <c r="F29" s="7" t="s">
        <v>35</v>
      </c>
      <c r="G29" s="7" t="s">
        <v>36</v>
      </c>
      <c r="H29" s="4"/>
      <c r="I29" s="4" t="str">
        <f t="shared" si="4"/>
        <v xml:space="preserve">24 h</v>
      </c>
      <c r="J29" s="4" t="str">
        <f t="shared" si="5"/>
        <v>ZIKV-bystander</v>
      </c>
      <c r="K29" s="4" t="str">
        <f t="shared" si="6"/>
        <v>ZIKY-FSS13025</v>
      </c>
      <c r="L29" s="4" t="str">
        <f t="shared" si="7"/>
        <v xml:space="preserve">ZIKV-bystander 24 h ZIKY-FSS13025</v>
      </c>
      <c r="M29" s="4">
        <v>4</v>
      </c>
    </row>
    <row r="30" ht="14.25">
      <c r="A30" s="1" t="s">
        <v>9</v>
      </c>
      <c r="B30" s="1" t="s">
        <v>70</v>
      </c>
      <c r="C30" s="14" t="s">
        <v>71</v>
      </c>
      <c r="D30" s="15" t="s">
        <v>72</v>
      </c>
      <c r="E30" s="16">
        <v>24</v>
      </c>
      <c r="F30" s="17" t="s">
        <v>35</v>
      </c>
      <c r="G30" s="17" t="s">
        <v>36</v>
      </c>
      <c r="H30" s="14"/>
      <c r="I30" s="14" t="str">
        <f t="shared" si="4"/>
        <v xml:space="preserve">24 h</v>
      </c>
      <c r="J30" s="14" t="str">
        <f t="shared" si="5"/>
        <v>ZIKV-bystander</v>
      </c>
      <c r="K30" s="14" t="str">
        <f t="shared" si="6"/>
        <v>ZIKY-FSS13025</v>
      </c>
      <c r="L30" s="14" t="str">
        <f t="shared" si="7"/>
        <v xml:space="preserve">ZIKV-bystander 24 h ZIKY-FSS13025</v>
      </c>
      <c r="M30" s="14">
        <v>5</v>
      </c>
    </row>
    <row r="31" ht="14.25">
      <c r="A31" s="1" t="s">
        <v>9</v>
      </c>
      <c r="B31" s="1" t="s">
        <v>70</v>
      </c>
      <c r="C31" s="14" t="s">
        <v>71</v>
      </c>
      <c r="D31" s="15" t="s">
        <v>73</v>
      </c>
      <c r="E31" s="16">
        <v>24</v>
      </c>
      <c r="F31" s="17" t="s">
        <v>35</v>
      </c>
      <c r="G31" s="17" t="s">
        <v>36</v>
      </c>
      <c r="H31" s="14"/>
      <c r="I31" s="14" t="str">
        <f t="shared" si="4"/>
        <v xml:space="preserve">24 h</v>
      </c>
      <c r="J31" s="14" t="str">
        <f t="shared" si="5"/>
        <v>ZIKV-bystander</v>
      </c>
      <c r="K31" s="14" t="str">
        <f t="shared" si="6"/>
        <v>ZIKY-FSS13025</v>
      </c>
      <c r="L31" s="14" t="str">
        <f t="shared" si="7"/>
        <v xml:space="preserve">ZIKV-bystander 24 h ZIKY-FSS13025</v>
      </c>
      <c r="M31" s="14">
        <v>6</v>
      </c>
    </row>
    <row r="32" ht="14.25">
      <c r="A32" s="1" t="s">
        <v>9</v>
      </c>
      <c r="B32" s="1" t="s">
        <v>70</v>
      </c>
      <c r="C32" s="14" t="s">
        <v>71</v>
      </c>
      <c r="D32" s="15" t="s">
        <v>74</v>
      </c>
      <c r="E32" s="16">
        <v>24</v>
      </c>
      <c r="F32" s="17" t="s">
        <v>35</v>
      </c>
      <c r="G32" s="17" t="s">
        <v>36</v>
      </c>
      <c r="H32" s="14"/>
      <c r="I32" s="14" t="str">
        <f t="shared" si="4"/>
        <v xml:space="preserve">24 h</v>
      </c>
      <c r="J32" s="14" t="str">
        <f t="shared" si="5"/>
        <v>ZIKV-bystander</v>
      </c>
      <c r="K32" s="14" t="str">
        <f t="shared" si="6"/>
        <v>ZIKY-FSS13025</v>
      </c>
      <c r="L32" s="14" t="str">
        <f t="shared" si="7"/>
        <v xml:space="preserve">ZIKV-bystander 24 h ZIKY-FSS13025</v>
      </c>
      <c r="M32" s="14">
        <v>7</v>
      </c>
    </row>
    <row r="33" ht="14.25">
      <c r="A33" s="1" t="s">
        <v>9</v>
      </c>
      <c r="B33" s="1" t="s">
        <v>75</v>
      </c>
      <c r="C33" s="13" t="s">
        <v>76</v>
      </c>
      <c r="D33" s="18" t="s">
        <v>77</v>
      </c>
      <c r="E33" s="19">
        <v>24</v>
      </c>
      <c r="F33" s="20" t="s">
        <v>35</v>
      </c>
      <c r="G33" s="20" t="s">
        <v>36</v>
      </c>
      <c r="H33" s="13"/>
      <c r="I33" s="13" t="str">
        <f t="shared" si="4"/>
        <v xml:space="preserve">24 h</v>
      </c>
      <c r="J33" s="13" t="str">
        <f t="shared" si="5"/>
        <v>ZIKV-bystander</v>
      </c>
      <c r="K33" s="13" t="str">
        <f t="shared" si="6"/>
        <v>ZIKY-FSS13025</v>
      </c>
      <c r="L33" s="13" t="str">
        <f t="shared" si="7"/>
        <v xml:space="preserve">ZIKV-bystander 24 h ZIKY-FSS13025</v>
      </c>
      <c r="M33" s="13">
        <v>8</v>
      </c>
    </row>
    <row r="34" ht="14.25">
      <c r="A34" s="1" t="s">
        <v>9</v>
      </c>
      <c r="B34" s="1" t="s">
        <v>75</v>
      </c>
      <c r="C34" s="13" t="s">
        <v>76</v>
      </c>
      <c r="D34" s="18" t="s">
        <v>78</v>
      </c>
      <c r="E34" s="19">
        <v>24</v>
      </c>
      <c r="F34" s="20" t="s">
        <v>35</v>
      </c>
      <c r="G34" s="20" t="s">
        <v>36</v>
      </c>
      <c r="H34" s="13"/>
      <c r="I34" s="13" t="str">
        <f t="shared" si="4"/>
        <v xml:space="preserve">24 h</v>
      </c>
      <c r="J34" s="13" t="str">
        <f t="shared" si="5"/>
        <v>ZIKV-bystander</v>
      </c>
      <c r="K34" s="13" t="str">
        <f t="shared" si="6"/>
        <v>ZIKY-FSS13025</v>
      </c>
      <c r="L34" s="13" t="str">
        <f t="shared" si="7"/>
        <v xml:space="preserve">ZIKV-bystander 24 h ZIKY-FSS13025</v>
      </c>
      <c r="M34" s="13">
        <v>9</v>
      </c>
    </row>
    <row r="35" ht="14.25">
      <c r="A35" s="1" t="s">
        <v>9</v>
      </c>
      <c r="B35" s="1" t="s">
        <v>75</v>
      </c>
      <c r="C35" s="13" t="s">
        <v>76</v>
      </c>
      <c r="D35" s="18" t="s">
        <v>79</v>
      </c>
      <c r="E35" s="19">
        <v>24</v>
      </c>
      <c r="F35" s="20" t="s">
        <v>35</v>
      </c>
      <c r="G35" s="20" t="s">
        <v>36</v>
      </c>
      <c r="H35" s="13"/>
      <c r="I35" s="13" t="str">
        <f t="shared" si="4"/>
        <v xml:space="preserve">24 h</v>
      </c>
      <c r="J35" s="13" t="str">
        <f t="shared" si="5"/>
        <v>ZIKV-bystander</v>
      </c>
      <c r="K35" s="13" t="str">
        <f t="shared" si="6"/>
        <v>ZIKY-FSS13025</v>
      </c>
      <c r="L35" s="13" t="str">
        <f t="shared" si="7"/>
        <v xml:space="preserve">ZIKV-bystander 24 h ZIKY-FSS13025</v>
      </c>
      <c r="M35" s="13">
        <v>10</v>
      </c>
    </row>
    <row r="36" ht="14.25" hidden="1">
      <c r="A36" s="1" t="s">
        <v>9</v>
      </c>
      <c r="B36" s="1" t="s">
        <v>80</v>
      </c>
      <c r="C36" s="21" t="s">
        <v>81</v>
      </c>
      <c r="D36" s="22" t="s">
        <v>82</v>
      </c>
      <c r="E36" s="23">
        <v>24</v>
      </c>
      <c r="F36" s="24" t="s">
        <v>35</v>
      </c>
      <c r="G36" s="24" t="s">
        <v>83</v>
      </c>
      <c r="H36" s="21"/>
      <c r="I36" s="21" t="str">
        <f t="shared" si="4"/>
        <v xml:space="preserve">24 h</v>
      </c>
      <c r="J36" s="21" t="str">
        <f t="shared" si="5"/>
        <v>ZIKV-bystander</v>
      </c>
      <c r="K36" s="21" t="str">
        <f t="shared" si="6"/>
        <v>ZIKY-SD001</v>
      </c>
      <c r="L36" s="21" t="str">
        <f t="shared" si="7"/>
        <v xml:space="preserve">ZIKV-bystander 24 h ZIKY-SD001</v>
      </c>
      <c r="M36" s="21">
        <v>1</v>
      </c>
    </row>
    <row r="37" ht="14.25" hidden="1">
      <c r="A37" s="1" t="s">
        <v>9</v>
      </c>
      <c r="B37" s="1" t="s">
        <v>80</v>
      </c>
      <c r="C37" s="21" t="s">
        <v>81</v>
      </c>
      <c r="D37" s="22" t="s">
        <v>84</v>
      </c>
      <c r="E37" s="23">
        <v>24</v>
      </c>
      <c r="F37" s="24" t="s">
        <v>35</v>
      </c>
      <c r="G37" s="24" t="s">
        <v>83</v>
      </c>
      <c r="H37" s="21"/>
      <c r="I37" s="21" t="str">
        <f t="shared" si="4"/>
        <v xml:space="preserve">24 h</v>
      </c>
      <c r="J37" s="21" t="str">
        <f t="shared" si="5"/>
        <v>ZIKV-bystander</v>
      </c>
      <c r="K37" s="21" t="str">
        <f t="shared" si="6"/>
        <v>ZIKY-SD001</v>
      </c>
      <c r="L37" s="21" t="str">
        <f t="shared" si="7"/>
        <v xml:space="preserve">ZIKV-bystander 24 h ZIKY-SD001</v>
      </c>
      <c r="M37" s="21">
        <v>2</v>
      </c>
    </row>
    <row r="38" ht="14.25" hidden="1">
      <c r="A38" s="1" t="s">
        <v>9</v>
      </c>
      <c r="B38" s="1" t="s">
        <v>85</v>
      </c>
      <c r="C38" s="21" t="s">
        <v>86</v>
      </c>
      <c r="D38" s="22" t="s">
        <v>87</v>
      </c>
      <c r="E38" s="23">
        <v>24</v>
      </c>
      <c r="F38" s="24" t="s">
        <v>35</v>
      </c>
      <c r="G38" s="24" t="s">
        <v>83</v>
      </c>
      <c r="H38" s="21"/>
      <c r="I38" s="21" t="str">
        <f t="shared" si="4"/>
        <v xml:space="preserve">24 h</v>
      </c>
      <c r="J38" s="21" t="str">
        <f t="shared" si="5"/>
        <v>ZIKV-bystander</v>
      </c>
      <c r="K38" s="21" t="str">
        <f t="shared" si="6"/>
        <v>ZIKY-SD001</v>
      </c>
      <c r="L38" s="21" t="str">
        <f t="shared" si="7"/>
        <v xml:space="preserve">ZIKV-bystander 24 h ZIKY-SD001</v>
      </c>
      <c r="M38" s="21">
        <v>3</v>
      </c>
    </row>
    <row r="39" ht="14.25">
      <c r="A39" s="1" t="s">
        <v>9</v>
      </c>
      <c r="B39" s="1" t="s">
        <v>88</v>
      </c>
      <c r="C39" s="8" t="s">
        <v>89</v>
      </c>
      <c r="D39" s="9" t="s">
        <v>90</v>
      </c>
      <c r="E39" s="10">
        <v>12</v>
      </c>
      <c r="F39" s="11" t="s">
        <v>91</v>
      </c>
      <c r="G39" s="11" t="s">
        <v>36</v>
      </c>
      <c r="H39" s="8"/>
      <c r="I39" s="8" t="str">
        <f t="shared" si="4"/>
        <v xml:space="preserve">12 h</v>
      </c>
      <c r="J39" s="8" t="str">
        <f t="shared" si="5"/>
        <v>ZIKV-infected</v>
      </c>
      <c r="K39" s="8" t="str">
        <f t="shared" si="6"/>
        <v>ZIKY-FSS13025</v>
      </c>
      <c r="L39" s="8" t="str">
        <f t="shared" si="7"/>
        <v xml:space="preserve">ZIKV-infected 12 h ZIKY-FSS13025</v>
      </c>
      <c r="M39" s="8">
        <v>1</v>
      </c>
    </row>
    <row r="40" ht="14.25">
      <c r="A40" s="1" t="s">
        <v>9</v>
      </c>
      <c r="B40" s="1" t="s">
        <v>92</v>
      </c>
      <c r="C40" s="4" t="s">
        <v>93</v>
      </c>
      <c r="D40" s="5" t="s">
        <v>94</v>
      </c>
      <c r="E40" s="6">
        <v>12</v>
      </c>
      <c r="F40" s="7" t="s">
        <v>91</v>
      </c>
      <c r="G40" s="7" t="s">
        <v>36</v>
      </c>
      <c r="H40" s="4"/>
      <c r="I40" s="4" t="str">
        <f t="shared" si="4"/>
        <v xml:space="preserve">12 h</v>
      </c>
      <c r="J40" s="4" t="str">
        <f t="shared" si="5"/>
        <v>ZIKV-infected</v>
      </c>
      <c r="K40" s="4" t="str">
        <f t="shared" si="6"/>
        <v>ZIKY-FSS13025</v>
      </c>
      <c r="L40" s="4" t="str">
        <f t="shared" si="7"/>
        <v xml:space="preserve">ZIKV-infected 12 h ZIKY-FSS13025</v>
      </c>
      <c r="M40" s="4">
        <v>2</v>
      </c>
    </row>
    <row r="41" ht="14.25">
      <c r="A41" s="1" t="s">
        <v>9</v>
      </c>
      <c r="B41" s="1" t="s">
        <v>92</v>
      </c>
      <c r="C41" s="4" t="s">
        <v>93</v>
      </c>
      <c r="D41" s="5" t="s">
        <v>95</v>
      </c>
      <c r="E41" s="6">
        <v>12</v>
      </c>
      <c r="F41" s="7" t="s">
        <v>91</v>
      </c>
      <c r="G41" s="7" t="s">
        <v>36</v>
      </c>
      <c r="H41" s="4"/>
      <c r="I41" s="4" t="str">
        <f t="shared" si="4"/>
        <v xml:space="preserve">12 h</v>
      </c>
      <c r="J41" s="4" t="str">
        <f t="shared" si="5"/>
        <v>ZIKV-infected</v>
      </c>
      <c r="K41" s="4" t="str">
        <f t="shared" si="6"/>
        <v>ZIKY-FSS13025</v>
      </c>
      <c r="L41" s="4" t="str">
        <f t="shared" si="7"/>
        <v xml:space="preserve">ZIKV-infected 12 h ZIKY-FSS13025</v>
      </c>
      <c r="M41" s="4">
        <v>3</v>
      </c>
    </row>
    <row r="42" ht="14.25">
      <c r="A42" s="1" t="s">
        <v>9</v>
      </c>
      <c r="B42" s="1" t="s">
        <v>92</v>
      </c>
      <c r="C42" s="4" t="s">
        <v>93</v>
      </c>
      <c r="D42" s="5" t="s">
        <v>96</v>
      </c>
      <c r="E42" s="6">
        <v>12</v>
      </c>
      <c r="F42" s="7" t="s">
        <v>91</v>
      </c>
      <c r="G42" s="7" t="s">
        <v>36</v>
      </c>
      <c r="H42" s="4"/>
      <c r="I42" s="4" t="str">
        <f t="shared" si="4"/>
        <v xml:space="preserve">12 h</v>
      </c>
      <c r="J42" s="4" t="str">
        <f t="shared" si="5"/>
        <v>ZIKV-infected</v>
      </c>
      <c r="K42" s="4" t="str">
        <f t="shared" si="6"/>
        <v>ZIKY-FSS13025</v>
      </c>
      <c r="L42" s="4" t="str">
        <f t="shared" si="7"/>
        <v xml:space="preserve">ZIKV-infected 12 h ZIKY-FSS13025</v>
      </c>
      <c r="M42" s="4">
        <v>4</v>
      </c>
    </row>
    <row r="43" ht="14.25">
      <c r="A43" s="1" t="s">
        <v>9</v>
      </c>
      <c r="B43" s="1" t="s">
        <v>97</v>
      </c>
      <c r="C43" s="14" t="s">
        <v>98</v>
      </c>
      <c r="D43" s="15" t="s">
        <v>99</v>
      </c>
      <c r="E43" s="16">
        <v>12</v>
      </c>
      <c r="F43" s="17" t="s">
        <v>91</v>
      </c>
      <c r="G43" s="17" t="s">
        <v>36</v>
      </c>
      <c r="H43" s="14"/>
      <c r="I43" s="14" t="str">
        <f t="shared" si="4"/>
        <v xml:space="preserve">12 h</v>
      </c>
      <c r="J43" s="14" t="str">
        <f t="shared" si="5"/>
        <v>ZIKV-infected</v>
      </c>
      <c r="K43" s="14" t="str">
        <f t="shared" si="6"/>
        <v>ZIKY-FSS13025</v>
      </c>
      <c r="L43" s="14" t="str">
        <f t="shared" si="7"/>
        <v xml:space="preserve">ZIKV-infected 12 h ZIKY-FSS13025</v>
      </c>
      <c r="M43" s="14">
        <v>5</v>
      </c>
    </row>
    <row r="44" ht="14.25">
      <c r="A44" s="1" t="s">
        <v>9</v>
      </c>
      <c r="B44" s="1" t="s">
        <v>97</v>
      </c>
      <c r="C44" s="14" t="s">
        <v>98</v>
      </c>
      <c r="D44" s="15" t="s">
        <v>100</v>
      </c>
      <c r="E44" s="16">
        <v>12</v>
      </c>
      <c r="F44" s="17" t="s">
        <v>91</v>
      </c>
      <c r="G44" s="17" t="s">
        <v>36</v>
      </c>
      <c r="H44" s="14"/>
      <c r="I44" s="14" t="str">
        <f t="shared" si="4"/>
        <v xml:space="preserve">12 h</v>
      </c>
      <c r="J44" s="14" t="str">
        <f t="shared" si="5"/>
        <v>ZIKV-infected</v>
      </c>
      <c r="K44" s="14" t="str">
        <f t="shared" si="6"/>
        <v>ZIKY-FSS13025</v>
      </c>
      <c r="L44" s="14" t="str">
        <f t="shared" si="7"/>
        <v xml:space="preserve">ZIKV-infected 12 h ZIKY-FSS13025</v>
      </c>
      <c r="M44" s="14">
        <v>6</v>
      </c>
    </row>
    <row r="45" ht="14.25">
      <c r="A45" s="1" t="s">
        <v>9</v>
      </c>
      <c r="B45" s="1" t="s">
        <v>97</v>
      </c>
      <c r="C45" s="14" t="s">
        <v>98</v>
      </c>
      <c r="D45" s="15" t="s">
        <v>101</v>
      </c>
      <c r="E45" s="16">
        <v>12</v>
      </c>
      <c r="F45" s="17" t="s">
        <v>91</v>
      </c>
      <c r="G45" s="17" t="s">
        <v>36</v>
      </c>
      <c r="H45" s="14"/>
      <c r="I45" s="14" t="str">
        <f t="shared" si="4"/>
        <v xml:space="preserve">12 h</v>
      </c>
      <c r="J45" s="14" t="str">
        <f t="shared" si="5"/>
        <v>ZIKV-infected</v>
      </c>
      <c r="K45" s="14" t="str">
        <f t="shared" si="6"/>
        <v>ZIKY-FSS13025</v>
      </c>
      <c r="L45" s="14" t="str">
        <f t="shared" si="7"/>
        <v xml:space="preserve">ZIKV-infected 12 h ZIKY-FSS13025</v>
      </c>
      <c r="M45" s="14">
        <v>7</v>
      </c>
    </row>
    <row r="46" ht="14.25">
      <c r="A46" s="1" t="s">
        <v>9</v>
      </c>
      <c r="B46" s="1" t="s">
        <v>102</v>
      </c>
      <c r="C46" s="8" t="s">
        <v>103</v>
      </c>
      <c r="D46" s="9" t="s">
        <v>104</v>
      </c>
      <c r="E46" s="10">
        <v>18</v>
      </c>
      <c r="F46" s="11" t="s">
        <v>91</v>
      </c>
      <c r="G46" s="11" t="s">
        <v>36</v>
      </c>
      <c r="H46" s="8"/>
      <c r="I46" s="8" t="str">
        <f t="shared" si="4"/>
        <v xml:space="preserve">18 h</v>
      </c>
      <c r="J46" s="8" t="str">
        <f t="shared" si="5"/>
        <v>ZIKV-infected</v>
      </c>
      <c r="K46" s="8" t="str">
        <f t="shared" si="6"/>
        <v>ZIKY-FSS13025</v>
      </c>
      <c r="L46" s="8" t="str">
        <f t="shared" si="7"/>
        <v xml:space="preserve">ZIKV-infected 18 h ZIKY-FSS13025</v>
      </c>
      <c r="M46" s="8">
        <v>1</v>
      </c>
    </row>
    <row r="47" ht="14.25">
      <c r="A47" s="1" t="s">
        <v>9</v>
      </c>
      <c r="B47" s="1" t="s">
        <v>105</v>
      </c>
      <c r="C47" s="4" t="s">
        <v>106</v>
      </c>
      <c r="D47" s="5" t="s">
        <v>107</v>
      </c>
      <c r="E47" s="6">
        <v>18</v>
      </c>
      <c r="F47" s="7" t="s">
        <v>91</v>
      </c>
      <c r="G47" s="7" t="s">
        <v>36</v>
      </c>
      <c r="H47" s="4"/>
      <c r="I47" s="4" t="str">
        <f t="shared" si="4"/>
        <v xml:space="preserve">18 h</v>
      </c>
      <c r="J47" s="4" t="str">
        <f t="shared" si="5"/>
        <v>ZIKV-infected</v>
      </c>
      <c r="K47" s="4" t="str">
        <f t="shared" si="6"/>
        <v>ZIKY-FSS13025</v>
      </c>
      <c r="L47" s="4" t="str">
        <f t="shared" si="7"/>
        <v xml:space="preserve">ZIKV-infected 18 h ZIKY-FSS13025</v>
      </c>
      <c r="M47" s="4">
        <v>2</v>
      </c>
    </row>
    <row r="48" ht="14.25">
      <c r="A48" s="1" t="s">
        <v>9</v>
      </c>
      <c r="B48" s="1" t="s">
        <v>105</v>
      </c>
      <c r="C48" s="4" t="s">
        <v>106</v>
      </c>
      <c r="D48" s="5" t="s">
        <v>108</v>
      </c>
      <c r="E48" s="6">
        <v>18</v>
      </c>
      <c r="F48" s="7" t="s">
        <v>91</v>
      </c>
      <c r="G48" s="7" t="s">
        <v>36</v>
      </c>
      <c r="H48" s="4"/>
      <c r="I48" s="4" t="str">
        <f t="shared" si="4"/>
        <v xml:space="preserve">18 h</v>
      </c>
      <c r="J48" s="4" t="str">
        <f t="shared" si="5"/>
        <v>ZIKV-infected</v>
      </c>
      <c r="K48" s="4" t="str">
        <f t="shared" si="6"/>
        <v>ZIKY-FSS13025</v>
      </c>
      <c r="L48" s="4" t="str">
        <f t="shared" si="7"/>
        <v xml:space="preserve">ZIKV-infected 18 h ZIKY-FSS13025</v>
      </c>
      <c r="M48" s="4">
        <v>3</v>
      </c>
    </row>
    <row r="49" ht="14.25">
      <c r="A49" s="1" t="s">
        <v>9</v>
      </c>
      <c r="B49" s="1" t="s">
        <v>105</v>
      </c>
      <c r="C49" s="4" t="s">
        <v>106</v>
      </c>
      <c r="D49" s="5" t="s">
        <v>109</v>
      </c>
      <c r="E49" s="6">
        <v>18</v>
      </c>
      <c r="F49" s="7" t="s">
        <v>91</v>
      </c>
      <c r="G49" s="7" t="s">
        <v>36</v>
      </c>
      <c r="H49" s="4"/>
      <c r="I49" s="4" t="str">
        <f t="shared" si="4"/>
        <v xml:space="preserve">18 h</v>
      </c>
      <c r="J49" s="4" t="str">
        <f t="shared" si="5"/>
        <v>ZIKV-infected</v>
      </c>
      <c r="K49" s="4" t="str">
        <f t="shared" si="6"/>
        <v>ZIKY-FSS13025</v>
      </c>
      <c r="L49" s="4" t="str">
        <f t="shared" si="7"/>
        <v xml:space="preserve">ZIKV-infected 18 h ZIKY-FSS13025</v>
      </c>
      <c r="M49" s="4">
        <v>4</v>
      </c>
    </row>
    <row r="50" ht="14.25">
      <c r="A50" s="1" t="s">
        <v>9</v>
      </c>
      <c r="B50" s="1" t="s">
        <v>110</v>
      </c>
      <c r="C50" s="14" t="s">
        <v>111</v>
      </c>
      <c r="D50" s="15" t="s">
        <v>112</v>
      </c>
      <c r="E50" s="16">
        <v>18</v>
      </c>
      <c r="F50" s="17" t="s">
        <v>91</v>
      </c>
      <c r="G50" s="17" t="s">
        <v>36</v>
      </c>
      <c r="H50" s="14"/>
      <c r="I50" s="14" t="str">
        <f t="shared" si="4"/>
        <v xml:space="preserve">18 h</v>
      </c>
      <c r="J50" s="14" t="str">
        <f t="shared" si="5"/>
        <v>ZIKV-infected</v>
      </c>
      <c r="K50" s="14" t="str">
        <f t="shared" si="6"/>
        <v>ZIKY-FSS13025</v>
      </c>
      <c r="L50" s="14" t="str">
        <f t="shared" si="7"/>
        <v xml:space="preserve">ZIKV-infected 18 h ZIKY-FSS13025</v>
      </c>
      <c r="M50" s="14">
        <v>5</v>
      </c>
    </row>
    <row r="51" ht="14.25">
      <c r="A51" s="1" t="s">
        <v>9</v>
      </c>
      <c r="B51" s="1" t="s">
        <v>110</v>
      </c>
      <c r="C51" s="14" t="s">
        <v>111</v>
      </c>
      <c r="D51" s="15" t="s">
        <v>113</v>
      </c>
      <c r="E51" s="16">
        <v>18</v>
      </c>
      <c r="F51" s="17" t="s">
        <v>91</v>
      </c>
      <c r="G51" s="17" t="s">
        <v>36</v>
      </c>
      <c r="H51" s="14"/>
      <c r="I51" s="14" t="str">
        <f t="shared" si="4"/>
        <v xml:space="preserve">18 h</v>
      </c>
      <c r="J51" s="14" t="str">
        <f t="shared" si="5"/>
        <v>ZIKV-infected</v>
      </c>
      <c r="K51" s="14" t="str">
        <f t="shared" si="6"/>
        <v>ZIKY-FSS13025</v>
      </c>
      <c r="L51" s="14" t="str">
        <f t="shared" si="7"/>
        <v xml:space="preserve">ZIKV-infected 18 h ZIKY-FSS13025</v>
      </c>
      <c r="M51" s="14">
        <v>6</v>
      </c>
    </row>
    <row r="52" ht="14.25">
      <c r="A52" s="1" t="s">
        <v>9</v>
      </c>
      <c r="B52" s="1" t="s">
        <v>110</v>
      </c>
      <c r="C52" s="14" t="s">
        <v>111</v>
      </c>
      <c r="D52" s="15" t="s">
        <v>114</v>
      </c>
      <c r="E52" s="16">
        <v>18</v>
      </c>
      <c r="F52" s="17" t="s">
        <v>91</v>
      </c>
      <c r="G52" s="17" t="s">
        <v>36</v>
      </c>
      <c r="H52" s="14"/>
      <c r="I52" s="14" t="str">
        <f t="shared" si="4"/>
        <v xml:space="preserve">18 h</v>
      </c>
      <c r="J52" s="14" t="str">
        <f t="shared" si="5"/>
        <v>ZIKV-infected</v>
      </c>
      <c r="K52" s="14" t="str">
        <f t="shared" si="6"/>
        <v>ZIKY-FSS13025</v>
      </c>
      <c r="L52" s="14" t="str">
        <f t="shared" si="7"/>
        <v xml:space="preserve">ZIKV-infected 18 h ZIKY-FSS13025</v>
      </c>
      <c r="M52" s="14">
        <v>7</v>
      </c>
    </row>
    <row r="53" ht="14.25">
      <c r="A53" s="1" t="s">
        <v>9</v>
      </c>
      <c r="B53" s="1" t="s">
        <v>115</v>
      </c>
      <c r="C53" s="8" t="s">
        <v>116</v>
      </c>
      <c r="D53" s="9" t="s">
        <v>117</v>
      </c>
      <c r="E53" s="10">
        <v>24</v>
      </c>
      <c r="F53" s="11" t="s">
        <v>91</v>
      </c>
      <c r="G53" s="11" t="s">
        <v>36</v>
      </c>
      <c r="H53" s="8"/>
      <c r="I53" s="8" t="str">
        <f t="shared" si="4"/>
        <v xml:space="preserve">24 h</v>
      </c>
      <c r="J53" s="8" t="str">
        <f t="shared" si="5"/>
        <v>ZIKV-infected</v>
      </c>
      <c r="K53" s="8" t="str">
        <f t="shared" si="6"/>
        <v>ZIKY-FSS13025</v>
      </c>
      <c r="L53" s="8" t="str">
        <f t="shared" si="7"/>
        <v xml:space="preserve">ZIKV-infected 24 h ZIKY-FSS13025</v>
      </c>
      <c r="M53" s="8">
        <v>1</v>
      </c>
    </row>
    <row r="54" ht="14.25">
      <c r="A54" s="1" t="s">
        <v>9</v>
      </c>
      <c r="B54" s="1" t="s">
        <v>115</v>
      </c>
      <c r="C54" s="8" t="s">
        <v>116</v>
      </c>
      <c r="D54" s="9" t="s">
        <v>118</v>
      </c>
      <c r="E54" s="10">
        <v>24</v>
      </c>
      <c r="F54" s="11" t="s">
        <v>91</v>
      </c>
      <c r="G54" s="11" t="s">
        <v>36</v>
      </c>
      <c r="H54" s="8"/>
      <c r="I54" s="8" t="str">
        <f t="shared" si="4"/>
        <v xml:space="preserve">24 h</v>
      </c>
      <c r="J54" s="8" t="str">
        <f t="shared" si="5"/>
        <v>ZIKV-infected</v>
      </c>
      <c r="K54" s="8" t="str">
        <f t="shared" si="6"/>
        <v>ZIKY-FSS13025</v>
      </c>
      <c r="L54" s="8" t="str">
        <f t="shared" si="7"/>
        <v xml:space="preserve">ZIKV-infected 24 h ZIKY-FSS13025</v>
      </c>
      <c r="M54" s="8">
        <v>2</v>
      </c>
    </row>
    <row r="55" ht="14.25">
      <c r="A55" s="1" t="s">
        <v>9</v>
      </c>
      <c r="B55" s="1" t="s">
        <v>119</v>
      </c>
      <c r="C55" s="4" t="s">
        <v>120</v>
      </c>
      <c r="D55" s="5" t="s">
        <v>121</v>
      </c>
      <c r="E55" s="6">
        <v>24</v>
      </c>
      <c r="F55" s="7" t="s">
        <v>91</v>
      </c>
      <c r="G55" s="7" t="s">
        <v>36</v>
      </c>
      <c r="H55" s="4"/>
      <c r="I55" s="4" t="str">
        <f t="shared" si="4"/>
        <v xml:space="preserve">24 h</v>
      </c>
      <c r="J55" s="4" t="str">
        <f t="shared" si="5"/>
        <v>ZIKV-infected</v>
      </c>
      <c r="K55" s="4" t="str">
        <f t="shared" si="6"/>
        <v>ZIKY-FSS13025</v>
      </c>
      <c r="L55" s="4" t="str">
        <f t="shared" si="7"/>
        <v xml:space="preserve">ZIKV-infected 24 h ZIKY-FSS13025</v>
      </c>
      <c r="M55" s="4">
        <v>3</v>
      </c>
    </row>
    <row r="56" ht="14.25">
      <c r="A56" s="1" t="s">
        <v>9</v>
      </c>
      <c r="B56" s="1" t="s">
        <v>122</v>
      </c>
      <c r="C56" s="4" t="s">
        <v>123</v>
      </c>
      <c r="D56" s="5" t="s">
        <v>124</v>
      </c>
      <c r="E56" s="6">
        <v>24</v>
      </c>
      <c r="F56" s="7" t="s">
        <v>91</v>
      </c>
      <c r="G56" s="7" t="s">
        <v>36</v>
      </c>
      <c r="H56" s="4"/>
      <c r="I56" s="4" t="str">
        <f t="shared" si="4"/>
        <v xml:space="preserve">24 h</v>
      </c>
      <c r="J56" s="4" t="str">
        <f t="shared" si="5"/>
        <v>ZIKV-infected</v>
      </c>
      <c r="K56" s="4" t="str">
        <f t="shared" si="6"/>
        <v>ZIKY-FSS13025</v>
      </c>
      <c r="L56" s="4" t="str">
        <f t="shared" si="7"/>
        <v xml:space="preserve">ZIKV-infected 24 h ZIKY-FSS13025</v>
      </c>
      <c r="M56" s="4">
        <v>4</v>
      </c>
    </row>
    <row r="57" ht="14.25">
      <c r="A57" s="1" t="s">
        <v>9</v>
      </c>
      <c r="B57" s="1" t="s">
        <v>125</v>
      </c>
      <c r="C57" s="14" t="s">
        <v>126</v>
      </c>
      <c r="D57" s="15" t="s">
        <v>127</v>
      </c>
      <c r="E57" s="16">
        <v>24</v>
      </c>
      <c r="F57" s="17" t="s">
        <v>91</v>
      </c>
      <c r="G57" s="17" t="s">
        <v>36</v>
      </c>
      <c r="H57" s="14"/>
      <c r="I57" s="14" t="str">
        <f t="shared" si="4"/>
        <v xml:space="preserve">24 h</v>
      </c>
      <c r="J57" s="14" t="str">
        <f t="shared" si="5"/>
        <v>ZIKV-infected</v>
      </c>
      <c r="K57" s="14" t="str">
        <f t="shared" si="6"/>
        <v>ZIKY-FSS13025</v>
      </c>
      <c r="L57" s="14" t="str">
        <f t="shared" si="7"/>
        <v xml:space="preserve">ZIKV-infected 24 h ZIKY-FSS13025</v>
      </c>
      <c r="M57" s="14">
        <v>5</v>
      </c>
    </row>
    <row r="58" ht="14.25">
      <c r="A58" s="1" t="s">
        <v>9</v>
      </c>
      <c r="B58" s="1" t="s">
        <v>125</v>
      </c>
      <c r="C58" s="14" t="s">
        <v>126</v>
      </c>
      <c r="D58" s="15" t="s">
        <v>128</v>
      </c>
      <c r="E58" s="16">
        <v>24</v>
      </c>
      <c r="F58" s="17" t="s">
        <v>91</v>
      </c>
      <c r="G58" s="17" t="s">
        <v>36</v>
      </c>
      <c r="H58" s="14"/>
      <c r="I58" s="14" t="str">
        <f t="shared" si="4"/>
        <v xml:space="preserve">24 h</v>
      </c>
      <c r="J58" s="14" t="str">
        <f t="shared" si="5"/>
        <v>ZIKV-infected</v>
      </c>
      <c r="K58" s="14" t="str">
        <f t="shared" si="6"/>
        <v>ZIKY-FSS13025</v>
      </c>
      <c r="L58" s="14" t="str">
        <f t="shared" si="7"/>
        <v xml:space="preserve">ZIKV-infected 24 h ZIKY-FSS13025</v>
      </c>
      <c r="M58" s="14">
        <v>6</v>
      </c>
    </row>
    <row r="59" ht="14.25">
      <c r="A59" s="1" t="s">
        <v>9</v>
      </c>
      <c r="B59" s="1" t="s">
        <v>125</v>
      </c>
      <c r="C59" s="14" t="s">
        <v>126</v>
      </c>
      <c r="D59" s="15" t="s">
        <v>129</v>
      </c>
      <c r="E59" s="16">
        <v>24</v>
      </c>
      <c r="F59" s="17" t="s">
        <v>91</v>
      </c>
      <c r="G59" s="17" t="s">
        <v>36</v>
      </c>
      <c r="H59" s="14"/>
      <c r="I59" s="14" t="str">
        <f t="shared" si="4"/>
        <v xml:space="preserve">24 h</v>
      </c>
      <c r="J59" s="14" t="str">
        <f t="shared" si="5"/>
        <v>ZIKV-infected</v>
      </c>
      <c r="K59" s="14" t="str">
        <f t="shared" si="6"/>
        <v>ZIKY-FSS13025</v>
      </c>
      <c r="L59" s="14" t="str">
        <f t="shared" si="7"/>
        <v xml:space="preserve">ZIKV-infected 24 h ZIKY-FSS13025</v>
      </c>
      <c r="M59" s="14">
        <v>7</v>
      </c>
    </row>
    <row r="60" ht="14.25">
      <c r="A60" s="1" t="s">
        <v>9</v>
      </c>
      <c r="B60" s="1" t="s">
        <v>130</v>
      </c>
      <c r="C60" s="13" t="s">
        <v>131</v>
      </c>
      <c r="D60" s="18" t="s">
        <v>132</v>
      </c>
      <c r="E60" s="19">
        <v>24</v>
      </c>
      <c r="F60" s="20" t="s">
        <v>91</v>
      </c>
      <c r="G60" s="20" t="s">
        <v>36</v>
      </c>
      <c r="H60" s="13"/>
      <c r="I60" s="13" t="str">
        <f t="shared" si="4"/>
        <v xml:space="preserve">24 h</v>
      </c>
      <c r="J60" s="13" t="str">
        <f t="shared" si="5"/>
        <v>ZIKV-infected</v>
      </c>
      <c r="K60" s="13" t="str">
        <f t="shared" si="6"/>
        <v>ZIKY-FSS13025</v>
      </c>
      <c r="L60" s="13" t="str">
        <f t="shared" si="7"/>
        <v xml:space="preserve">ZIKV-infected 24 h ZIKY-FSS13025</v>
      </c>
      <c r="M60" s="13">
        <v>8</v>
      </c>
    </row>
    <row r="61" ht="14.25">
      <c r="A61" s="1" t="s">
        <v>9</v>
      </c>
      <c r="B61" s="1" t="s">
        <v>130</v>
      </c>
      <c r="C61" s="13" t="s">
        <v>131</v>
      </c>
      <c r="D61" s="18" t="s">
        <v>133</v>
      </c>
      <c r="E61" s="19">
        <v>24</v>
      </c>
      <c r="F61" s="20" t="s">
        <v>91</v>
      </c>
      <c r="G61" s="20" t="s">
        <v>36</v>
      </c>
      <c r="H61" s="13"/>
      <c r="I61" s="13" t="str">
        <f t="shared" si="4"/>
        <v xml:space="preserve">24 h</v>
      </c>
      <c r="J61" s="13" t="str">
        <f t="shared" si="5"/>
        <v>ZIKV-infected</v>
      </c>
      <c r="K61" s="13" t="str">
        <f t="shared" si="6"/>
        <v>ZIKY-FSS13025</v>
      </c>
      <c r="L61" s="13" t="str">
        <f t="shared" si="7"/>
        <v xml:space="preserve">ZIKV-infected 24 h ZIKY-FSS13025</v>
      </c>
      <c r="M61" s="13">
        <v>9</v>
      </c>
    </row>
    <row r="62" ht="14.25">
      <c r="A62" s="1" t="s">
        <v>9</v>
      </c>
      <c r="B62" s="1" t="s">
        <v>130</v>
      </c>
      <c r="C62" s="13" t="s">
        <v>131</v>
      </c>
      <c r="D62" s="18" t="s">
        <v>134</v>
      </c>
      <c r="E62" s="19">
        <v>24</v>
      </c>
      <c r="F62" s="20" t="s">
        <v>91</v>
      </c>
      <c r="G62" s="20" t="s">
        <v>36</v>
      </c>
      <c r="H62" s="13"/>
      <c r="I62" s="13" t="str">
        <f t="shared" si="4"/>
        <v xml:space="preserve">24 h</v>
      </c>
      <c r="J62" s="13" t="str">
        <f t="shared" si="5"/>
        <v>ZIKV-infected</v>
      </c>
      <c r="K62" s="13" t="str">
        <f t="shared" si="6"/>
        <v>ZIKY-FSS13025</v>
      </c>
      <c r="L62" s="13" t="str">
        <f t="shared" si="7"/>
        <v xml:space="preserve">ZIKV-infected 24 h ZIKY-FSS13025</v>
      </c>
      <c r="M62" s="13">
        <v>10</v>
      </c>
    </row>
    <row r="63" ht="14.25" hidden="1">
      <c r="A63" s="21" t="s">
        <v>9</v>
      </c>
      <c r="B63" s="21" t="s">
        <v>135</v>
      </c>
      <c r="C63" s="21" t="s">
        <v>136</v>
      </c>
      <c r="D63" s="22" t="s">
        <v>137</v>
      </c>
      <c r="E63" s="23">
        <v>24</v>
      </c>
      <c r="F63" s="24" t="s">
        <v>91</v>
      </c>
      <c r="G63" s="24" t="s">
        <v>83</v>
      </c>
      <c r="H63" s="21"/>
      <c r="I63" s="21" t="str">
        <f t="shared" si="4"/>
        <v xml:space="preserve">24 h</v>
      </c>
      <c r="J63" s="21" t="str">
        <f t="shared" si="5"/>
        <v>ZIKV-infected</v>
      </c>
      <c r="K63" s="21" t="str">
        <f t="shared" si="6"/>
        <v>ZIKY-SD001</v>
      </c>
      <c r="L63" s="21" t="str">
        <f t="shared" si="7"/>
        <v xml:space="preserve">ZIKV-infected 24 h ZIKY-SD001</v>
      </c>
      <c r="M63" s="21">
        <v>1</v>
      </c>
    </row>
    <row r="64" ht="14.25" hidden="1">
      <c r="A64" s="21" t="s">
        <v>9</v>
      </c>
      <c r="B64" s="21" t="s">
        <v>135</v>
      </c>
      <c r="C64" s="21" t="s">
        <v>136</v>
      </c>
      <c r="D64" s="22" t="s">
        <v>138</v>
      </c>
      <c r="E64" s="23">
        <v>24</v>
      </c>
      <c r="F64" s="24" t="s">
        <v>91</v>
      </c>
      <c r="G64" s="24" t="s">
        <v>83</v>
      </c>
      <c r="H64" s="21"/>
      <c r="I64" s="21" t="str">
        <f t="shared" si="4"/>
        <v xml:space="preserve">24 h</v>
      </c>
      <c r="J64" s="21" t="str">
        <f t="shared" si="5"/>
        <v>ZIKV-infected</v>
      </c>
      <c r="K64" s="21" t="str">
        <f t="shared" si="6"/>
        <v>ZIKY-SD001</v>
      </c>
      <c r="L64" s="21" t="str">
        <f t="shared" si="7"/>
        <v xml:space="preserve">ZIKV-infected 24 h ZIKY-SD001</v>
      </c>
      <c r="M64" s="21">
        <v>2</v>
      </c>
    </row>
    <row r="65" ht="14.25" hidden="1">
      <c r="A65" s="21" t="s">
        <v>9</v>
      </c>
      <c r="B65" s="21" t="s">
        <v>139</v>
      </c>
      <c r="C65" s="21" t="s">
        <v>140</v>
      </c>
      <c r="D65" s="22" t="s">
        <v>141</v>
      </c>
      <c r="E65" s="23">
        <v>24</v>
      </c>
      <c r="F65" s="24" t="s">
        <v>91</v>
      </c>
      <c r="G65" s="24" t="s">
        <v>83</v>
      </c>
      <c r="H65" s="21"/>
      <c r="I65" s="21" t="str">
        <f t="shared" si="4"/>
        <v xml:space="preserve">24 h</v>
      </c>
      <c r="J65" s="21" t="str">
        <f t="shared" si="5"/>
        <v>ZIKV-infected</v>
      </c>
      <c r="K65" s="21" t="str">
        <f t="shared" si="6"/>
        <v>ZIKY-SD001</v>
      </c>
      <c r="L65" s="21" t="str">
        <f t="shared" si="7"/>
        <v xml:space="preserve">ZIKV-infected 24 h ZIKY-SD001</v>
      </c>
      <c r="M65" s="21">
        <v>3</v>
      </c>
    </row>
    <row r="66" ht="14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</sheetData>
  <autoFilter ref="L1:L66"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2025-12-31T08:19:26Z</dcterms:modified>
</cp:coreProperties>
</file>